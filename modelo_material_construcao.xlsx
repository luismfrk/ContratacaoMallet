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a pasta\REQUISIÇÃO 2026\"/>
    </mc:Choice>
  </mc:AlternateContent>
  <xr:revisionPtr revIDLastSave="0" documentId="8_{6FB0296F-FB65-48D5-9099-1170E2598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ais" sheetId="1" r:id="rId1"/>
  </sheets>
  <definedNames>
    <definedName name="_xlnm.Print_Area" localSheetId="0">Materiais!$A$1:$I$44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H31" i="1"/>
  <c r="F31" i="1"/>
  <c r="F30" i="1"/>
  <c r="F29" i="1"/>
  <c r="H29" i="1" s="1"/>
  <c r="F27" i="1"/>
  <c r="H27" i="1" s="1"/>
  <c r="F28" i="1"/>
  <c r="H28" i="1" s="1"/>
  <c r="F26" i="1"/>
  <c r="H26" i="1" s="1"/>
  <c r="F25" i="1"/>
  <c r="H25" i="1" l="1"/>
  <c r="H32" i="1" l="1"/>
</calcChain>
</file>

<file path=xl/sharedStrings.xml><?xml version="1.0" encoding="utf-8"?>
<sst xmlns="http://schemas.openxmlformats.org/spreadsheetml/2006/main" count="27" uniqueCount="27">
  <si>
    <t>REQUISIÇÃO INTERNA</t>
  </si>
  <si>
    <t>Ao Setor de Compras:</t>
  </si>
  <si>
    <t>Quantidade</t>
  </si>
  <si>
    <t>TOTAL</t>
  </si>
  <si>
    <t>Obs.: Senhor FORNECEDOR, não entregar materiais/prestar serviços mediante apresentação desta requisição – USO SOMENTE INTERNO – SEM VALIDADE EXTERNA.</t>
  </si>
  <si>
    <t>Descrição dos Materiais</t>
  </si>
  <si>
    <t xml:space="preserve">Percentual desconto materiais </t>
  </si>
  <si>
    <t>Valor unitário</t>
  </si>
  <si>
    <t>Valor total</t>
  </si>
  <si>
    <t>Valor total com desconto aplicado</t>
  </si>
  <si>
    <t>__________________________________________________________________</t>
  </si>
  <si>
    <t>Cidade: Rio Azul - PR</t>
  </si>
  <si>
    <r>
      <t xml:space="preserve">Solicitamos que seja emitida Autorização de Fornecimento dos materiais/serviços abaixo descritos destinados a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Secretaria Municipal de </t>
    </r>
    <r>
      <rPr>
        <b/>
        <sz val="14"/>
        <rFont val="Calibri"/>
        <family val="2"/>
        <scheme val="minor"/>
      </rPr>
      <t xml:space="preserve"> Educação</t>
    </r>
  </si>
  <si>
    <t xml:space="preserve">Empresa: Oldacir Pilatti Leite </t>
  </si>
  <si>
    <t>Endereço: Rua Barão do Rio Branco, 30</t>
  </si>
  <si>
    <t>Código SINAPI</t>
  </si>
  <si>
    <t>Carla Cassiana Machado Nowacki</t>
  </si>
  <si>
    <t>Secretário Municipal de Educação - DEC 045/2025</t>
  </si>
  <si>
    <r>
      <t xml:space="preserve">Fonte/Recurso: </t>
    </r>
    <r>
      <rPr>
        <b/>
        <sz val="12"/>
        <color theme="1"/>
        <rFont val="Calibri"/>
        <family val="2"/>
        <scheme val="minor"/>
      </rPr>
      <t xml:space="preserve">Dotação 99 - Fonte: 1103        </t>
    </r>
    <r>
      <rPr>
        <sz val="12"/>
        <color theme="1"/>
        <rFont val="Calibri"/>
        <family val="2"/>
        <scheme val="minor"/>
      </rPr>
      <t xml:space="preserve">           Contrato nº 150/2023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 xml:space="preserve"> Lote:</t>
    </r>
    <r>
      <rPr>
        <sz val="12"/>
        <color theme="1"/>
        <rFont val="Calibri"/>
        <family val="2"/>
        <scheme val="minor"/>
      </rPr>
      <t xml:space="preserve"> 01 - Material Hidráulico</t>
    </r>
  </si>
  <si>
    <t>Caixa de Gordura PVC 18 L</t>
  </si>
  <si>
    <t>Tubo PVC 100 mm (m)</t>
  </si>
  <si>
    <t>Tubo PVC 40 mm (m)</t>
  </si>
  <si>
    <t>Tubo de Descida PVC p Cx de descarga</t>
  </si>
  <si>
    <t>Sifão Plástico</t>
  </si>
  <si>
    <t>Luva 100 mm simples</t>
  </si>
  <si>
    <t>Tubo PVC 25 mm (m)</t>
  </si>
  <si>
    <t>Mallet/PR, 13 de julho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</si>
</sst>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_ ;\-#,##0.00\ 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44" fontId="2" fillId="0" borderId="0" xfId="1" applyFont="1" applyAlignment="1">
      <alignment horizontal="center" vertical="center"/>
    </xf>
    <xf numFmtId="44" fontId="3" fillId="0" borderId="0" xfId="1" applyFont="1"/>
    <xf numFmtId="44" fontId="3" fillId="0" borderId="8" xfId="1" applyFont="1" applyBorder="1" applyAlignment="1">
      <alignment vertical="center" wrapText="1"/>
    </xf>
    <xf numFmtId="44" fontId="2" fillId="0" borderId="0" xfId="1" applyFont="1" applyBorder="1" applyAlignment="1">
      <alignment horizontal="right" vertical="center" wrapText="1"/>
    </xf>
    <xf numFmtId="44" fontId="0" fillId="0" borderId="0" xfId="1" applyFont="1"/>
    <xf numFmtId="0" fontId="5" fillId="0" borderId="0" xfId="0" applyFont="1" applyAlignment="1">
      <alignment vertical="center"/>
    </xf>
    <xf numFmtId="44" fontId="2" fillId="0" borderId="10" xfId="1" applyFont="1" applyBorder="1" applyAlignment="1">
      <alignment horizontal="center" vertical="center" wrapText="1"/>
    </xf>
    <xf numFmtId="44" fontId="2" fillId="0" borderId="8" xfId="1" applyFont="1" applyBorder="1" applyAlignment="1">
      <alignment vertical="center" wrapText="1"/>
    </xf>
    <xf numFmtId="44" fontId="2" fillId="0" borderId="0" xfId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10" fontId="3" fillId="0" borderId="11" xfId="1" applyNumberFormat="1" applyFont="1" applyBorder="1" applyAlignment="1">
      <alignment horizontal="center" vertical="center" wrapText="1"/>
    </xf>
    <xf numFmtId="164" fontId="3" fillId="0" borderId="8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4" fontId="2" fillId="0" borderId="7" xfId="1" applyFont="1" applyBorder="1" applyAlignment="1">
      <alignment horizontal="center" vertical="center" wrapText="1"/>
    </xf>
    <xf numFmtId="44" fontId="2" fillId="0" borderId="9" xfId="1" applyFont="1" applyBorder="1" applyAlignment="1">
      <alignment horizontal="center" vertical="center" wrapText="1"/>
    </xf>
    <xf numFmtId="44" fontId="2" fillId="0" borderId="8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0</xdr:row>
      <xdr:rowOff>0</xdr:rowOff>
    </xdr:from>
    <xdr:to>
      <xdr:col>7</xdr:col>
      <xdr:colOff>1001443</xdr:colOff>
      <xdr:row>6</xdr:row>
      <xdr:rowOff>202406</xdr:rowOff>
    </xdr:to>
    <xdr:pic>
      <xdr:nvPicPr>
        <xdr:cNvPr id="3" name="Imagem 2" descr="CABECALH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7478443" cy="1345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I58"/>
  <sheetViews>
    <sheetView tabSelected="1" view="pageBreakPreview" zoomScale="80" zoomScaleNormal="100" zoomScaleSheetLayoutView="80" workbookViewId="0">
      <selection activeCell="B26" sqref="B26"/>
    </sheetView>
  </sheetViews>
  <sheetFormatPr defaultRowHeight="15" x14ac:dyDescent="0.25"/>
  <cols>
    <col min="2" max="2" width="13.42578125" customWidth="1"/>
    <col min="3" max="3" width="10.28515625" customWidth="1"/>
    <col min="4" max="4" width="44.85546875" bestFit="1" customWidth="1"/>
    <col min="5" max="5" width="10.5703125" style="11" customWidth="1"/>
    <col min="6" max="6" width="13.5703125" style="11" customWidth="1"/>
    <col min="7" max="7" width="12" style="11" customWidth="1"/>
    <col min="8" max="8" width="15.28515625" style="11" bestFit="1" customWidth="1"/>
  </cols>
  <sheetData>
    <row r="7" spans="2:9" ht="26.25" x14ac:dyDescent="0.25">
      <c r="I7" s="1"/>
    </row>
    <row r="8" spans="2:9" ht="26.25" x14ac:dyDescent="0.25">
      <c r="I8" s="1"/>
    </row>
    <row r="9" spans="2:9" ht="26.25" x14ac:dyDescent="0.25">
      <c r="B9" s="32" t="s">
        <v>0</v>
      </c>
      <c r="C9" s="32"/>
      <c r="D9" s="32"/>
      <c r="E9" s="32"/>
      <c r="F9" s="32"/>
      <c r="G9" s="32"/>
      <c r="H9" s="32"/>
      <c r="I9" s="1"/>
    </row>
    <row r="10" spans="2:9" ht="26.25" x14ac:dyDescent="0.25">
      <c r="B10" s="32"/>
      <c r="C10" s="32"/>
      <c r="D10" s="32"/>
      <c r="E10" s="32"/>
      <c r="F10" s="32"/>
      <c r="G10" s="32"/>
      <c r="H10" s="32"/>
      <c r="I10" s="1"/>
    </row>
    <row r="11" spans="2:9" ht="15.75" x14ac:dyDescent="0.25">
      <c r="B11" s="2"/>
      <c r="C11" s="2"/>
      <c r="D11" s="2"/>
      <c r="E11" s="7"/>
      <c r="F11" s="7"/>
      <c r="G11" s="7"/>
      <c r="H11" s="7"/>
      <c r="I11" s="2"/>
    </row>
    <row r="12" spans="2:9" ht="23.25" customHeight="1" x14ac:dyDescent="0.25">
      <c r="B12" s="3" t="s">
        <v>1</v>
      </c>
      <c r="C12" s="3"/>
      <c r="D12" s="4"/>
      <c r="E12" s="8"/>
      <c r="F12" s="8"/>
      <c r="G12" s="8"/>
      <c r="H12" s="8"/>
      <c r="I12" s="4"/>
    </row>
    <row r="13" spans="2:9" ht="15.75" x14ac:dyDescent="0.25">
      <c r="B13" s="33" t="s">
        <v>12</v>
      </c>
      <c r="C13" s="34"/>
      <c r="D13" s="34"/>
      <c r="E13" s="34"/>
      <c r="F13" s="34"/>
      <c r="G13" s="34"/>
      <c r="H13" s="35"/>
      <c r="I13" s="5"/>
    </row>
    <row r="14" spans="2:9" ht="20.25" customHeight="1" x14ac:dyDescent="0.25">
      <c r="B14" s="36"/>
      <c r="C14" s="37"/>
      <c r="D14" s="37"/>
      <c r="E14" s="37"/>
      <c r="F14" s="37"/>
      <c r="G14" s="37"/>
      <c r="H14" s="38"/>
      <c r="I14" s="5"/>
    </row>
    <row r="15" spans="2:9" ht="15.75" x14ac:dyDescent="0.25">
      <c r="B15" s="26" t="s">
        <v>13</v>
      </c>
      <c r="C15" s="27"/>
      <c r="D15" s="27"/>
      <c r="E15" s="27"/>
      <c r="F15" s="27"/>
      <c r="G15" s="27"/>
      <c r="H15" s="28"/>
      <c r="I15" s="5"/>
    </row>
    <row r="16" spans="2:9" ht="10.5" customHeight="1" x14ac:dyDescent="0.25">
      <c r="B16" s="29"/>
      <c r="C16" s="30"/>
      <c r="D16" s="30"/>
      <c r="E16" s="30"/>
      <c r="F16" s="30"/>
      <c r="G16" s="30"/>
      <c r="H16" s="31"/>
      <c r="I16" s="5"/>
    </row>
    <row r="17" spans="2:9" ht="15.75" x14ac:dyDescent="0.25">
      <c r="B17" s="26" t="s">
        <v>14</v>
      </c>
      <c r="C17" s="27"/>
      <c r="D17" s="27"/>
      <c r="E17" s="27"/>
      <c r="F17" s="27"/>
      <c r="G17" s="27"/>
      <c r="H17" s="28"/>
      <c r="I17" s="5"/>
    </row>
    <row r="18" spans="2:9" ht="8.25" customHeight="1" x14ac:dyDescent="0.25">
      <c r="B18" s="29"/>
      <c r="C18" s="30"/>
      <c r="D18" s="30"/>
      <c r="E18" s="30"/>
      <c r="F18" s="30"/>
      <c r="G18" s="30"/>
      <c r="H18" s="31"/>
      <c r="I18" s="5"/>
    </row>
    <row r="19" spans="2:9" ht="15.75" x14ac:dyDescent="0.25">
      <c r="B19" s="26" t="s">
        <v>11</v>
      </c>
      <c r="C19" s="27"/>
      <c r="D19" s="27"/>
      <c r="E19" s="27"/>
      <c r="F19" s="27"/>
      <c r="G19" s="27"/>
      <c r="H19" s="28"/>
      <c r="I19" s="6"/>
    </row>
    <row r="20" spans="2:9" ht="9.75" customHeight="1" x14ac:dyDescent="0.25">
      <c r="B20" s="29"/>
      <c r="C20" s="30"/>
      <c r="D20" s="30"/>
      <c r="E20" s="30"/>
      <c r="F20" s="30"/>
      <c r="G20" s="30"/>
      <c r="H20" s="31"/>
      <c r="I20" s="6"/>
    </row>
    <row r="21" spans="2:9" ht="20.100000000000001" customHeight="1" x14ac:dyDescent="0.25">
      <c r="B21" s="26" t="s">
        <v>18</v>
      </c>
      <c r="C21" s="27"/>
      <c r="D21" s="27"/>
      <c r="E21" s="27"/>
      <c r="F21" s="27"/>
      <c r="G21" s="27"/>
      <c r="H21" s="28"/>
      <c r="I21" s="5"/>
    </row>
    <row r="22" spans="2:9" ht="20.100000000000001" customHeight="1" x14ac:dyDescent="0.25">
      <c r="B22" s="29"/>
      <c r="C22" s="30"/>
      <c r="D22" s="30"/>
      <c r="E22" s="30"/>
      <c r="F22" s="30"/>
      <c r="G22" s="30"/>
      <c r="H22" s="31"/>
      <c r="I22" s="5"/>
    </row>
    <row r="23" spans="2:9" ht="43.5" customHeight="1" x14ac:dyDescent="0.25">
      <c r="B23" s="39" t="s">
        <v>2</v>
      </c>
      <c r="C23" s="16" t="s">
        <v>15</v>
      </c>
      <c r="D23" s="41" t="s">
        <v>5</v>
      </c>
      <c r="E23" s="42" t="s">
        <v>7</v>
      </c>
      <c r="F23" s="13" t="s">
        <v>8</v>
      </c>
      <c r="G23" s="43" t="s">
        <v>6</v>
      </c>
      <c r="H23" s="42" t="s">
        <v>9</v>
      </c>
      <c r="I23" s="4"/>
    </row>
    <row r="24" spans="2:9" ht="8.25" hidden="1" customHeight="1" x14ac:dyDescent="0.25">
      <c r="B24" s="40"/>
      <c r="C24" s="17"/>
      <c r="D24" s="40"/>
      <c r="E24" s="43"/>
      <c r="F24" s="13"/>
      <c r="G24" s="42"/>
      <c r="H24" s="44"/>
      <c r="I24" s="4"/>
    </row>
    <row r="25" spans="2:9" ht="15.75" x14ac:dyDescent="0.25">
      <c r="B25" s="18">
        <v>1</v>
      </c>
      <c r="C25" s="21">
        <v>35277</v>
      </c>
      <c r="D25" s="20" t="s">
        <v>19</v>
      </c>
      <c r="E25" s="19">
        <v>370.61</v>
      </c>
      <c r="F25" s="23">
        <f t="shared" ref="F25:F26" si="0">B25*E25</f>
        <v>370.61</v>
      </c>
      <c r="G25" s="22">
        <v>0.27779999999999999</v>
      </c>
      <c r="H25" s="9">
        <f t="shared" ref="H25:H26" si="1">+F25-F25*G25</f>
        <v>267.65454199999999</v>
      </c>
      <c r="I25" s="4"/>
    </row>
    <row r="26" spans="2:9" ht="15.75" x14ac:dyDescent="0.25">
      <c r="B26" s="18">
        <v>24</v>
      </c>
      <c r="C26" s="21">
        <v>9836</v>
      </c>
      <c r="D26" s="20" t="s">
        <v>20</v>
      </c>
      <c r="E26" s="19">
        <v>15.21</v>
      </c>
      <c r="F26" s="23">
        <f t="shared" si="0"/>
        <v>365.04</v>
      </c>
      <c r="G26" s="22">
        <v>0.27779999999999999</v>
      </c>
      <c r="H26" s="9">
        <f t="shared" si="1"/>
        <v>263.631888</v>
      </c>
      <c r="I26" s="4"/>
    </row>
    <row r="27" spans="2:9" ht="15.75" customHeight="1" x14ac:dyDescent="0.25">
      <c r="B27" s="18">
        <v>26</v>
      </c>
      <c r="C27" s="21">
        <v>9835</v>
      </c>
      <c r="D27" s="20" t="s">
        <v>21</v>
      </c>
      <c r="E27" s="19">
        <v>6.64</v>
      </c>
      <c r="F27" s="23">
        <f t="shared" ref="F27:F31" si="2">B27*E27</f>
        <v>172.64</v>
      </c>
      <c r="G27" s="22">
        <v>0.27779999999999999</v>
      </c>
      <c r="H27" s="9">
        <f t="shared" ref="H27:H31" si="3">+F27-F27*G27</f>
        <v>124.68060799999999</v>
      </c>
      <c r="I27" s="4"/>
    </row>
    <row r="28" spans="2:9" ht="15.75" x14ac:dyDescent="0.25">
      <c r="B28" s="18">
        <v>6</v>
      </c>
      <c r="C28" s="21">
        <v>1031</v>
      </c>
      <c r="D28" s="20" t="s">
        <v>22</v>
      </c>
      <c r="E28" s="19">
        <v>14.39</v>
      </c>
      <c r="F28" s="23">
        <f t="shared" si="2"/>
        <v>86.34</v>
      </c>
      <c r="G28" s="22">
        <v>0.27779999999999999</v>
      </c>
      <c r="H28" s="9">
        <f t="shared" si="3"/>
        <v>62.354748000000001</v>
      </c>
      <c r="I28" s="4"/>
    </row>
    <row r="29" spans="2:9" ht="15.75" x14ac:dyDescent="0.25">
      <c r="B29" s="18">
        <v>26</v>
      </c>
      <c r="C29" s="21">
        <v>9868</v>
      </c>
      <c r="D29" s="20" t="s">
        <v>25</v>
      </c>
      <c r="E29" s="19">
        <v>4.62</v>
      </c>
      <c r="F29" s="23">
        <f t="shared" si="2"/>
        <v>120.12</v>
      </c>
      <c r="G29" s="22">
        <v>0.27779999999999999</v>
      </c>
      <c r="H29" s="9">
        <f t="shared" si="3"/>
        <v>86.750664</v>
      </c>
      <c r="I29" s="4"/>
    </row>
    <row r="30" spans="2:9" ht="15.75" x14ac:dyDescent="0.25">
      <c r="B30" s="18">
        <v>10</v>
      </c>
      <c r="C30" s="21">
        <v>6149</v>
      </c>
      <c r="D30" s="20" t="s">
        <v>23</v>
      </c>
      <c r="E30" s="19">
        <v>12.23</v>
      </c>
      <c r="F30" s="23">
        <f t="shared" si="2"/>
        <v>122.30000000000001</v>
      </c>
      <c r="G30" s="22">
        <v>0.27779999999999999</v>
      </c>
      <c r="H30" s="9">
        <f t="shared" si="3"/>
        <v>88.325060000000008</v>
      </c>
      <c r="I30" s="4"/>
    </row>
    <row r="31" spans="2:9" ht="15.75" x14ac:dyDescent="0.25">
      <c r="B31" s="18">
        <v>10</v>
      </c>
      <c r="C31" s="21">
        <v>20170</v>
      </c>
      <c r="D31" s="20" t="s">
        <v>24</v>
      </c>
      <c r="E31" s="19">
        <v>13.85</v>
      </c>
      <c r="F31" s="23">
        <f t="shared" si="2"/>
        <v>138.5</v>
      </c>
      <c r="G31" s="22">
        <v>0.27779999999999999</v>
      </c>
      <c r="H31" s="9">
        <f t="shared" si="3"/>
        <v>100.0247</v>
      </c>
      <c r="I31" s="4"/>
    </row>
    <row r="32" spans="2:9" ht="15.75" x14ac:dyDescent="0.25">
      <c r="B32" s="5"/>
      <c r="C32" s="5"/>
      <c r="D32" s="5"/>
      <c r="F32" s="10"/>
      <c r="G32" s="15" t="s">
        <v>3</v>
      </c>
      <c r="H32" s="14">
        <f>SUM(H25:H31)</f>
        <v>993.42220999999995</v>
      </c>
      <c r="I32" s="4"/>
    </row>
    <row r="33" spans="2:9" ht="15.75" x14ac:dyDescent="0.25">
      <c r="B33" s="3"/>
      <c r="C33" s="3"/>
      <c r="D33" s="4"/>
      <c r="E33" s="8"/>
      <c r="F33" s="8"/>
      <c r="G33" s="8"/>
      <c r="H33" s="8"/>
      <c r="I33" s="4"/>
    </row>
    <row r="34" spans="2:9" ht="15.75" x14ac:dyDescent="0.25">
      <c r="B34" s="25" t="s">
        <v>4</v>
      </c>
      <c r="C34" s="25"/>
      <c r="D34" s="25"/>
      <c r="E34" s="25"/>
      <c r="F34" s="25"/>
      <c r="G34" s="25"/>
      <c r="H34" s="25"/>
      <c r="I34" s="4"/>
    </row>
    <row r="35" spans="2:9" ht="15.75" x14ac:dyDescent="0.25">
      <c r="B35" s="25"/>
      <c r="C35" s="25"/>
      <c r="D35" s="25"/>
      <c r="E35" s="25"/>
      <c r="F35" s="25"/>
      <c r="G35" s="25"/>
      <c r="H35" s="25"/>
      <c r="I35" s="4"/>
    </row>
    <row r="36" spans="2:9" ht="15.75" x14ac:dyDescent="0.25">
      <c r="E36" s="8"/>
      <c r="F36" s="8"/>
      <c r="G36" s="8"/>
      <c r="H36" s="8"/>
      <c r="I36" s="4"/>
    </row>
    <row r="37" spans="2:9" ht="15.75" x14ac:dyDescent="0.25">
      <c r="E37" s="8"/>
      <c r="F37" s="45" t="s">
        <v>26</v>
      </c>
      <c r="G37" s="45"/>
      <c r="H37" s="45"/>
      <c r="I37" s="4"/>
    </row>
    <row r="38" spans="2:9" ht="15.75" x14ac:dyDescent="0.25">
      <c r="B38" s="12"/>
      <c r="C38" s="12"/>
      <c r="D38" s="4"/>
      <c r="E38" s="8"/>
      <c r="F38" s="8"/>
      <c r="G38" s="8"/>
      <c r="H38" s="8"/>
      <c r="I38" s="4"/>
    </row>
    <row r="39" spans="2:9" ht="15.75" x14ac:dyDescent="0.25">
      <c r="B39" s="12"/>
      <c r="C39" s="12"/>
      <c r="D39" s="4"/>
      <c r="E39" s="8"/>
      <c r="F39" s="8"/>
      <c r="G39" s="8"/>
      <c r="H39" s="8"/>
      <c r="I39" s="4"/>
    </row>
    <row r="40" spans="2:9" ht="15.75" x14ac:dyDescent="0.25">
      <c r="B40" s="12"/>
      <c r="C40" s="12"/>
      <c r="D40" s="4"/>
      <c r="E40" s="8"/>
      <c r="F40" s="8"/>
      <c r="G40" s="8"/>
      <c r="H40" s="8"/>
      <c r="I40" s="4"/>
    </row>
    <row r="41" spans="2:9" ht="15.75" x14ac:dyDescent="0.25">
      <c r="B41" s="4"/>
      <c r="C41" s="4"/>
      <c r="D41" s="4"/>
      <c r="E41" s="8"/>
      <c r="F41" s="8"/>
      <c r="G41" s="8"/>
      <c r="H41" s="8"/>
      <c r="I41" s="4"/>
    </row>
    <row r="42" spans="2:9" ht="15.75" x14ac:dyDescent="0.25">
      <c r="B42" s="4"/>
      <c r="C42" s="4"/>
      <c r="D42" s="24" t="s">
        <v>10</v>
      </c>
      <c r="E42" s="24"/>
      <c r="F42" s="24"/>
      <c r="G42" s="24"/>
      <c r="H42" s="8"/>
      <c r="I42" s="4"/>
    </row>
    <row r="43" spans="2:9" ht="15.75" x14ac:dyDescent="0.25">
      <c r="B43" s="4"/>
      <c r="C43" s="4"/>
      <c r="D43" s="24" t="s">
        <v>16</v>
      </c>
      <c r="E43" s="24"/>
      <c r="F43" s="24"/>
      <c r="G43" s="24"/>
      <c r="H43" s="8"/>
      <c r="I43" s="4"/>
    </row>
    <row r="44" spans="2:9" ht="15.75" x14ac:dyDescent="0.25">
      <c r="B44" s="4"/>
      <c r="C44" s="4"/>
      <c r="D44" s="24" t="s">
        <v>17</v>
      </c>
      <c r="E44" s="24"/>
      <c r="F44" s="24"/>
      <c r="G44" s="24"/>
      <c r="H44" s="8"/>
      <c r="I44" s="4"/>
    </row>
    <row r="45" spans="2:9" ht="15.75" x14ac:dyDescent="0.25">
      <c r="B45" s="4"/>
      <c r="C45" s="4"/>
      <c r="D45" s="4"/>
      <c r="E45" s="8"/>
      <c r="F45" s="8"/>
      <c r="G45" s="8"/>
      <c r="H45" s="8"/>
      <c r="I45" s="4"/>
    </row>
    <row r="46" spans="2:9" ht="15.75" x14ac:dyDescent="0.25">
      <c r="B46" s="4"/>
      <c r="C46" s="4"/>
      <c r="D46" s="4"/>
      <c r="E46" s="8"/>
      <c r="F46" s="8"/>
      <c r="G46" s="8"/>
      <c r="H46" s="8"/>
      <c r="I46" s="4"/>
    </row>
    <row r="47" spans="2:9" ht="15.75" x14ac:dyDescent="0.25">
      <c r="B47" s="4"/>
      <c r="C47" s="4"/>
      <c r="D47" s="4"/>
      <c r="E47" s="8"/>
      <c r="F47" s="8"/>
      <c r="G47" s="8"/>
      <c r="H47" s="8"/>
      <c r="I47" s="4"/>
    </row>
    <row r="48" spans="2:9" ht="15.75" x14ac:dyDescent="0.25">
      <c r="B48" s="4"/>
      <c r="C48" s="4"/>
      <c r="D48" s="4"/>
      <c r="E48" s="8"/>
      <c r="F48" s="8"/>
      <c r="G48" s="8"/>
      <c r="H48" s="8"/>
      <c r="I48" s="4"/>
    </row>
    <row r="49" spans="2:9" ht="15.75" x14ac:dyDescent="0.25">
      <c r="B49" s="4"/>
      <c r="C49" s="4"/>
      <c r="D49" s="4"/>
      <c r="E49" s="8"/>
      <c r="F49" s="8"/>
      <c r="G49" s="8"/>
      <c r="H49" s="8"/>
      <c r="I49" s="4"/>
    </row>
    <row r="50" spans="2:9" ht="15.75" x14ac:dyDescent="0.25">
      <c r="B50" s="4"/>
      <c r="C50" s="4"/>
      <c r="D50" s="4"/>
      <c r="E50" s="8"/>
      <c r="F50" s="8"/>
      <c r="G50" s="8"/>
      <c r="H50" s="8"/>
      <c r="I50" s="4"/>
    </row>
    <row r="51" spans="2:9" ht="15.75" x14ac:dyDescent="0.25">
      <c r="B51" s="4"/>
      <c r="C51" s="4"/>
      <c r="D51" s="4"/>
      <c r="E51" s="8"/>
      <c r="F51" s="8"/>
      <c r="G51" s="8"/>
      <c r="H51" s="8"/>
      <c r="I51" s="4"/>
    </row>
    <row r="52" spans="2:9" ht="15.75" x14ac:dyDescent="0.25">
      <c r="B52" s="4"/>
      <c r="C52" s="4"/>
      <c r="D52" s="4"/>
      <c r="E52" s="8"/>
      <c r="F52" s="8"/>
      <c r="G52" s="8"/>
      <c r="H52" s="8"/>
      <c r="I52" s="4"/>
    </row>
    <row r="53" spans="2:9" ht="15.75" x14ac:dyDescent="0.25">
      <c r="B53" s="4"/>
      <c r="C53" s="4"/>
      <c r="D53" s="4"/>
      <c r="E53" s="8"/>
      <c r="F53" s="8"/>
      <c r="G53" s="8"/>
      <c r="H53" s="8"/>
      <c r="I53" s="4"/>
    </row>
    <row r="54" spans="2:9" ht="15.75" x14ac:dyDescent="0.25">
      <c r="B54" s="4"/>
      <c r="C54" s="4"/>
      <c r="D54" s="4"/>
      <c r="E54" s="8"/>
      <c r="F54" s="8"/>
      <c r="G54" s="8"/>
      <c r="H54" s="8"/>
      <c r="I54" s="4"/>
    </row>
    <row r="55" spans="2:9" ht="15.75" x14ac:dyDescent="0.25">
      <c r="B55" s="4"/>
      <c r="C55" s="4"/>
      <c r="D55" s="4"/>
      <c r="E55" s="8"/>
      <c r="F55" s="8"/>
      <c r="G55" s="8"/>
      <c r="H55" s="8"/>
      <c r="I55" s="4"/>
    </row>
    <row r="56" spans="2:9" ht="15.75" x14ac:dyDescent="0.25">
      <c r="B56" s="4"/>
      <c r="C56" s="4"/>
      <c r="D56" s="4"/>
      <c r="E56" s="8"/>
      <c r="F56" s="8"/>
      <c r="G56" s="8"/>
      <c r="H56" s="8"/>
      <c r="I56" s="4"/>
    </row>
    <row r="57" spans="2:9" ht="15.75" x14ac:dyDescent="0.25">
      <c r="B57" s="4"/>
      <c r="C57" s="4"/>
      <c r="D57" s="4"/>
      <c r="E57" s="8"/>
      <c r="F57" s="8"/>
      <c r="G57" s="8"/>
      <c r="H57" s="8"/>
      <c r="I57" s="4"/>
    </row>
    <row r="58" spans="2:9" ht="15.75" x14ac:dyDescent="0.25">
      <c r="B58" s="4"/>
      <c r="C58" s="4"/>
      <c r="D58" s="4"/>
      <c r="E58" s="8"/>
      <c r="F58" s="8"/>
      <c r="G58" s="8"/>
      <c r="H58" s="8"/>
      <c r="I58" s="4"/>
    </row>
  </sheetData>
  <mergeCells count="16">
    <mergeCell ref="D42:G42"/>
    <mergeCell ref="D44:G44"/>
    <mergeCell ref="B34:H35"/>
    <mergeCell ref="B21:H22"/>
    <mergeCell ref="B9:H10"/>
    <mergeCell ref="B13:H14"/>
    <mergeCell ref="B15:H16"/>
    <mergeCell ref="B17:H18"/>
    <mergeCell ref="B19:H20"/>
    <mergeCell ref="B23:B24"/>
    <mergeCell ref="D23:D24"/>
    <mergeCell ref="E23:E24"/>
    <mergeCell ref="H23:H24"/>
    <mergeCell ref="G23:G24"/>
    <mergeCell ref="F37:H37"/>
    <mergeCell ref="D43:G43"/>
  </mergeCells>
  <pageMargins left="0.31496062992125984" right="0.51181102362204722" top="0.78740157480314965" bottom="0.78740157480314965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Materiais</vt:lpstr>
      <vt:lpstr>Materiais!Area_de_impressao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Guilherme Muran Frankio</cp:lastModifiedBy>
  <cp:lastPrinted>2026-07-13T18:06:01Z</cp:lastPrinted>
  <dcterms:created xsi:type="dcterms:W3CDTF">2017-12-20T12:44:08Z</dcterms:created>
  <dcterms:modified xsi:type="dcterms:W3CDTF">2026-08-28T12:51:03Z</dcterms:modified>
</cp:coreProperties>
</file>