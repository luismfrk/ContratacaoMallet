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va pasta\REQUISIÇÃO 2026\7 JUL-2026\MARCELO LUCAS AMARAL\MATERIAL\"/>
    </mc:Choice>
  </mc:AlternateContent>
  <xr:revisionPtr revIDLastSave="0" documentId="8_{C4CA11CD-CE7E-4535-B35D-3AC9539A6B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Plan1!$A$1:$I$73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5" i="1"/>
  <c r="H25" i="1" s="1"/>
  <c r="G26" i="1"/>
  <c r="H26" i="1"/>
  <c r="H24" i="1"/>
  <c r="G23" i="1"/>
  <c r="H23" i="1" s="1"/>
  <c r="H52" i="1" l="1"/>
  <c r="D58" i="1"/>
</calcChain>
</file>

<file path=xl/sharedStrings.xml><?xml version="1.0" encoding="utf-8"?>
<sst xmlns="http://schemas.openxmlformats.org/spreadsheetml/2006/main" count="26" uniqueCount="26">
  <si>
    <t>REQUISIÇÃO INTERNA</t>
  </si>
  <si>
    <t>Ao Setor de Compras:</t>
  </si>
  <si>
    <t>Quantidade</t>
  </si>
  <si>
    <t>Descrição dos Materiais/Serviços</t>
  </si>
  <si>
    <t>R$ (Unitário)</t>
  </si>
  <si>
    <t>Obs.: Senhor FORNECEDOR, não entregar materiais/prestar serviços mediante apresentação desta requisição – USO SOMENTE INTERNO – SEM VALIDADE EXTERNA.</t>
  </si>
  <si>
    <t>Desconto %</t>
  </si>
  <si>
    <t>TOTAL</t>
  </si>
  <si>
    <t>R$ (Total com desconto)</t>
  </si>
  <si>
    <t>Valor com desconto</t>
  </si>
  <si>
    <t>CHEFE DO SETOR REQUISITANTE</t>
  </si>
  <si>
    <t xml:space="preserve">PORTADOR </t>
  </si>
  <si>
    <t>____________________</t>
  </si>
  <si>
    <t>MALLET-PR,</t>
  </si>
  <si>
    <t>Solicitamos que seja emitida Autorização de Fornecimento dos materiais/serviços abaixo descritos destinados a:      SEC. EDUCAÇÃO - SETOR TRANSPORTE</t>
  </si>
  <si>
    <t>DEC. MUNICIPAL: 051/2025</t>
  </si>
  <si>
    <t xml:space="preserve">JOAO LAZOSKI </t>
  </si>
  <si>
    <t xml:space="preserve">RESP. SETOR TRANSP. ESCOLAR </t>
  </si>
  <si>
    <t>Endereço: RUA OLIMPIO ODORICO SILVA, 160-SW - VILA MARIANA - CEP 84570-000 - MALLET/PR</t>
  </si>
  <si>
    <t>Endereço: MARCELO AMARAL LUCAS - LTDA</t>
  </si>
  <si>
    <t>Cidade: MALLET</t>
  </si>
  <si>
    <t xml:space="preserve">ADESIVO SILICONE NEUTRO PRETO ALTA TEMPERATURA </t>
  </si>
  <si>
    <t>ADESIVO PARA JUNTAS MOTORES</t>
  </si>
  <si>
    <t>LIXA D'AGUA</t>
  </si>
  <si>
    <t>ÓLEO MOTOR URANIA 1000 BD - PETRONAS</t>
  </si>
  <si>
    <r>
      <t xml:space="preserve">Fonte/Recurso: 1000/ 1104 / 3104 / 1103                              </t>
    </r>
    <r>
      <rPr>
        <b/>
        <sz val="12"/>
        <color theme="1"/>
        <rFont val="Calibri"/>
        <family val="2"/>
        <scheme val="minor"/>
      </rPr>
      <t>PLACA- ATR-5B58              ORDEM- 251/2026-BAL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</si>
</sst>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&quot;\ * #,##0.0000_-;\-&quot;R$&quot;\ * #,##0.0000_-;_-&quot;R$&quot;\ * &quot;-&quot;??_-;_-@_-"/>
    <numFmt numFmtId="165" formatCode="&quot;R$&quot;\ #,##0.00"/>
    <numFmt numFmtId="166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horizontal="center"/>
    </xf>
    <xf numFmtId="44" fontId="2" fillId="0" borderId="0" xfId="1" applyFont="1" applyAlignment="1">
      <alignment horizontal="center" vertical="center"/>
    </xf>
    <xf numFmtId="44" fontId="3" fillId="0" borderId="0" xfId="1" applyFont="1"/>
    <xf numFmtId="44" fontId="0" fillId="0" borderId="0" xfId="1" applyFont="1"/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/>
    </xf>
    <xf numFmtId="164" fontId="3" fillId="0" borderId="0" xfId="1" applyNumberFormat="1" applyFont="1"/>
    <xf numFmtId="164" fontId="2" fillId="0" borderId="0" xfId="0" applyNumberFormat="1" applyFont="1" applyAlignment="1">
      <alignment horizontal="center" vertical="center" wrapText="1"/>
    </xf>
    <xf numFmtId="164" fontId="0" fillId="0" borderId="0" xfId="1" applyNumberFormat="1" applyFont="1"/>
    <xf numFmtId="166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/>
    <xf numFmtId="165" fontId="0" fillId="2" borderId="8" xfId="0" applyNumberFormat="1" applyFill="1" applyBorder="1" applyAlignment="1">
      <alignment vertical="center" wrapText="1"/>
    </xf>
    <xf numFmtId="9" fontId="3" fillId="2" borderId="8" xfId="0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/>
    </xf>
    <xf numFmtId="165" fontId="3" fillId="2" borderId="8" xfId="1" applyNumberFormat="1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10" fontId="3" fillId="2" borderId="8" xfId="0" applyNumberFormat="1" applyFont="1" applyFill="1" applyBorder="1" applyAlignment="1">
      <alignment horizontal="center" vertical="center"/>
    </xf>
    <xf numFmtId="165" fontId="3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165" fontId="2" fillId="2" borderId="8" xfId="1" applyNumberFormat="1" applyFont="1" applyFill="1" applyBorder="1" applyAlignment="1">
      <alignment vertical="center" wrapText="1"/>
    </xf>
    <xf numFmtId="0" fontId="3" fillId="2" borderId="8" xfId="0" applyFont="1" applyFill="1" applyBorder="1"/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9" xfId="1" applyNumberFormat="1" applyFont="1" applyFill="1" applyBorder="1" applyAlignment="1">
      <alignment horizontal="center" vertical="center" wrapText="1"/>
    </xf>
    <xf numFmtId="44" fontId="2" fillId="2" borderId="7" xfId="1" applyFont="1" applyFill="1" applyBorder="1" applyAlignment="1">
      <alignment horizontal="center" vertical="center" wrapText="1"/>
    </xf>
    <xf numFmtId="44" fontId="2" fillId="2" borderId="8" xfId="1" applyFont="1" applyFill="1" applyBorder="1" applyAlignment="1">
      <alignment horizontal="center" vertical="center" wrapText="1"/>
    </xf>
    <xf numFmtId="164" fontId="2" fillId="2" borderId="13" xfId="1" applyNumberFormat="1" applyFont="1" applyFill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horizontal="center" vertical="center" wrapText="1"/>
    </xf>
    <xf numFmtId="165" fontId="0" fillId="2" borderId="8" xfId="0" applyNumberFormat="1" applyFill="1" applyBorder="1" applyAlignment="1">
      <alignment horizontal="center" vertical="center" wrapText="1"/>
    </xf>
    <xf numFmtId="165" fontId="3" fillId="2" borderId="8" xfId="1" applyNumberFormat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266860</xdr:colOff>
      <xdr:row>0</xdr:row>
      <xdr:rowOff>0</xdr:rowOff>
    </xdr:from>
    <xdr:to>
      <xdr:col>7</xdr:col>
      <xdr:colOff>162037</xdr:colOff>
      <xdr:row>6</xdr:row>
      <xdr:rowOff>38735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420" y="0"/>
          <a:ext cx="6120130" cy="1136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I77"/>
  <sheetViews>
    <sheetView tabSelected="1" view="pageBreakPreview" topLeftCell="A9" zoomScale="130" zoomScaleNormal="100" zoomScaleSheetLayoutView="130" workbookViewId="0">
      <selection activeCell="D33" sqref="D33"/>
    </sheetView>
  </sheetViews>
  <sheetFormatPr defaultRowHeight="15" x14ac:dyDescent="0.25"/>
  <cols>
    <col min="2" max="2" width="6.42578125" customWidth="1"/>
    <col min="3" max="3" width="5" customWidth="1"/>
    <col min="4" max="4" width="45" customWidth="1"/>
    <col min="5" max="7" width="13.5703125" style="15" customWidth="1"/>
    <col min="8" max="8" width="14.7109375" style="10" customWidth="1"/>
  </cols>
  <sheetData>
    <row r="7" spans="2:9" ht="26.25" x14ac:dyDescent="0.25">
      <c r="B7" s="51" t="s">
        <v>0</v>
      </c>
      <c r="C7" s="51"/>
      <c r="D7" s="51"/>
      <c r="E7" s="51"/>
      <c r="F7" s="51"/>
      <c r="G7" s="51"/>
      <c r="H7" s="51"/>
      <c r="I7" s="1"/>
    </row>
    <row r="8" spans="2:9" ht="26.25" x14ac:dyDescent="0.25">
      <c r="B8" s="51"/>
      <c r="C8" s="51"/>
      <c r="D8" s="51"/>
      <c r="E8" s="51"/>
      <c r="F8" s="51"/>
      <c r="G8" s="51"/>
      <c r="H8" s="51"/>
      <c r="I8" s="1"/>
    </row>
    <row r="9" spans="2:9" ht="15.75" x14ac:dyDescent="0.25">
      <c r="B9" s="2"/>
      <c r="C9" s="2"/>
      <c r="D9" s="2"/>
      <c r="E9" s="12"/>
      <c r="F9" s="12"/>
      <c r="G9" s="12"/>
      <c r="H9" s="8"/>
      <c r="I9" s="2"/>
    </row>
    <row r="10" spans="2:9" ht="15.75" x14ac:dyDescent="0.25">
      <c r="B10" s="3" t="s">
        <v>1</v>
      </c>
      <c r="C10" s="3"/>
      <c r="D10" s="4"/>
      <c r="E10" s="13"/>
      <c r="F10" s="13"/>
      <c r="G10" s="13"/>
      <c r="H10" s="9"/>
      <c r="I10" s="4"/>
    </row>
    <row r="11" spans="2:9" ht="15.75" x14ac:dyDescent="0.25">
      <c r="B11" s="52" t="s">
        <v>14</v>
      </c>
      <c r="C11" s="53"/>
      <c r="D11" s="53"/>
      <c r="E11" s="53"/>
      <c r="F11" s="53"/>
      <c r="G11" s="53"/>
      <c r="H11" s="54"/>
      <c r="I11" s="5"/>
    </row>
    <row r="12" spans="2:9" ht="34.5" customHeight="1" x14ac:dyDescent="0.25">
      <c r="B12" s="55"/>
      <c r="C12" s="56"/>
      <c r="D12" s="56"/>
      <c r="E12" s="56"/>
      <c r="F12" s="56"/>
      <c r="G12" s="56"/>
      <c r="H12" s="57"/>
      <c r="I12" s="5"/>
    </row>
    <row r="13" spans="2:9" ht="15.75" x14ac:dyDescent="0.25">
      <c r="B13" s="41" t="s">
        <v>19</v>
      </c>
      <c r="C13" s="42"/>
      <c r="D13" s="42"/>
      <c r="E13" s="42"/>
      <c r="F13" s="42"/>
      <c r="G13" s="42"/>
      <c r="H13" s="43"/>
      <c r="I13" s="5"/>
    </row>
    <row r="14" spans="2:9" ht="10.5" customHeight="1" x14ac:dyDescent="0.25">
      <c r="B14" s="44"/>
      <c r="C14" s="45"/>
      <c r="D14" s="45"/>
      <c r="E14" s="45"/>
      <c r="F14" s="45"/>
      <c r="G14" s="45"/>
      <c r="H14" s="46"/>
      <c r="I14" s="5"/>
    </row>
    <row r="15" spans="2:9" ht="15.75" x14ac:dyDescent="0.25">
      <c r="B15" s="41" t="s">
        <v>18</v>
      </c>
      <c r="C15" s="42"/>
      <c r="D15" s="42"/>
      <c r="E15" s="42"/>
      <c r="F15" s="42"/>
      <c r="G15" s="42"/>
      <c r="H15" s="43"/>
      <c r="I15" s="5"/>
    </row>
    <row r="16" spans="2:9" ht="8.25" customHeight="1" x14ac:dyDescent="0.25">
      <c r="B16" s="44"/>
      <c r="C16" s="45"/>
      <c r="D16" s="45"/>
      <c r="E16" s="45"/>
      <c r="F16" s="45"/>
      <c r="G16" s="45"/>
      <c r="H16" s="46"/>
      <c r="I16" s="5"/>
    </row>
    <row r="17" spans="2:9" ht="15.75" x14ac:dyDescent="0.25">
      <c r="B17" s="41" t="s">
        <v>20</v>
      </c>
      <c r="C17" s="42"/>
      <c r="D17" s="42"/>
      <c r="E17" s="42"/>
      <c r="F17" s="42"/>
      <c r="G17" s="42"/>
      <c r="H17" s="43"/>
      <c r="I17" s="6"/>
    </row>
    <row r="18" spans="2:9" ht="9.75" customHeight="1" x14ac:dyDescent="0.25">
      <c r="B18" s="44"/>
      <c r="C18" s="45"/>
      <c r="D18" s="45"/>
      <c r="E18" s="45"/>
      <c r="F18" s="45"/>
      <c r="G18" s="45"/>
      <c r="H18" s="46"/>
      <c r="I18" s="6"/>
    </row>
    <row r="19" spans="2:9" ht="15.75" x14ac:dyDescent="0.25">
      <c r="B19" s="41" t="s">
        <v>25</v>
      </c>
      <c r="C19" s="42"/>
      <c r="D19" s="42"/>
      <c r="E19" s="42"/>
      <c r="F19" s="42"/>
      <c r="G19" s="42"/>
      <c r="H19" s="43"/>
      <c r="I19" s="5"/>
    </row>
    <row r="20" spans="2:9" ht="6.75" customHeight="1" x14ac:dyDescent="0.25">
      <c r="B20" s="44"/>
      <c r="C20" s="45"/>
      <c r="D20" s="45"/>
      <c r="E20" s="45"/>
      <c r="F20" s="45"/>
      <c r="G20" s="45"/>
      <c r="H20" s="46"/>
      <c r="I20" s="5"/>
    </row>
    <row r="21" spans="2:9" ht="15.75" x14ac:dyDescent="0.25">
      <c r="B21" s="47" t="s">
        <v>2</v>
      </c>
      <c r="C21" s="48"/>
      <c r="D21" s="33" t="s">
        <v>3</v>
      </c>
      <c r="E21" s="35" t="s">
        <v>4</v>
      </c>
      <c r="F21" s="36" t="s">
        <v>6</v>
      </c>
      <c r="G21" s="35" t="s">
        <v>9</v>
      </c>
      <c r="H21" s="37" t="s">
        <v>8</v>
      </c>
      <c r="I21" s="4"/>
    </row>
    <row r="22" spans="2:9" ht="15.75" x14ac:dyDescent="0.25">
      <c r="B22" s="49"/>
      <c r="C22" s="50"/>
      <c r="D22" s="34"/>
      <c r="E22" s="36"/>
      <c r="F22" s="39"/>
      <c r="G22" s="40"/>
      <c r="H22" s="38"/>
      <c r="I22" s="4"/>
    </row>
    <row r="23" spans="2:9" ht="32.25" customHeight="1" x14ac:dyDescent="0.25">
      <c r="B23" s="32">
        <v>1</v>
      </c>
      <c r="C23" s="32"/>
      <c r="D23" s="60" t="s">
        <v>21</v>
      </c>
      <c r="E23" s="61">
        <v>42.35</v>
      </c>
      <c r="F23" s="22">
        <v>0.15</v>
      </c>
      <c r="G23" s="23">
        <f>E23-(E23*F23)</f>
        <v>35.997500000000002</v>
      </c>
      <c r="H23" s="62">
        <f>G23*B23</f>
        <v>35.997500000000002</v>
      </c>
      <c r="I23" s="4"/>
    </row>
    <row r="24" spans="2:9" ht="16.5" customHeight="1" x14ac:dyDescent="0.25">
      <c r="B24" s="32">
        <v>1</v>
      </c>
      <c r="C24" s="32"/>
      <c r="D24" s="59" t="s">
        <v>22</v>
      </c>
      <c r="E24" s="61">
        <v>28.24</v>
      </c>
      <c r="F24" s="22">
        <v>0.15</v>
      </c>
      <c r="G24" s="23">
        <f t="shared" ref="G24:G26" si="0">E24-(E24*F24)</f>
        <v>24.003999999999998</v>
      </c>
      <c r="H24" s="62">
        <f t="shared" ref="H24:H26" si="1">G24*B24</f>
        <v>24.003999999999998</v>
      </c>
      <c r="I24" s="4"/>
    </row>
    <row r="25" spans="2:9" ht="15.75" x14ac:dyDescent="0.25">
      <c r="B25" s="32">
        <v>9</v>
      </c>
      <c r="C25" s="32"/>
      <c r="D25" s="59" t="s">
        <v>23</v>
      </c>
      <c r="E25" s="61">
        <v>3.71</v>
      </c>
      <c r="F25" s="22">
        <v>0.15</v>
      </c>
      <c r="G25" s="23">
        <f t="shared" si="0"/>
        <v>3.1535000000000002</v>
      </c>
      <c r="H25" s="62">
        <f t="shared" si="1"/>
        <v>28.381500000000003</v>
      </c>
      <c r="I25" s="4"/>
    </row>
    <row r="26" spans="2:9" ht="18" customHeight="1" x14ac:dyDescent="0.25">
      <c r="B26" s="32">
        <v>1</v>
      </c>
      <c r="C26" s="32"/>
      <c r="D26" s="59" t="s">
        <v>24</v>
      </c>
      <c r="E26" s="61">
        <v>744.46</v>
      </c>
      <c r="F26" s="22">
        <v>0.15</v>
      </c>
      <c r="G26" s="23">
        <f t="shared" si="0"/>
        <v>632.79100000000005</v>
      </c>
      <c r="H26" s="62">
        <f t="shared" si="1"/>
        <v>632.79100000000005</v>
      </c>
      <c r="I26" s="4"/>
    </row>
    <row r="27" spans="2:9" ht="15.75" x14ac:dyDescent="0.25">
      <c r="B27" s="32"/>
      <c r="C27" s="32"/>
      <c r="D27" s="20"/>
      <c r="E27" s="21"/>
      <c r="F27" s="22"/>
      <c r="G27" s="23"/>
      <c r="H27" s="24"/>
      <c r="I27" s="4"/>
    </row>
    <row r="28" spans="2:9" ht="15.75" x14ac:dyDescent="0.25">
      <c r="B28" s="32"/>
      <c r="C28" s="32"/>
      <c r="D28" s="20"/>
      <c r="E28" s="21"/>
      <c r="F28" s="22"/>
      <c r="G28" s="23"/>
      <c r="H28" s="24"/>
      <c r="I28" s="4"/>
    </row>
    <row r="29" spans="2:9" ht="15.75" x14ac:dyDescent="0.25">
      <c r="B29" s="32"/>
      <c r="C29" s="32"/>
      <c r="D29" s="20"/>
      <c r="E29" s="21"/>
      <c r="F29" s="22"/>
      <c r="G29" s="23"/>
      <c r="H29" s="24"/>
      <c r="I29" s="4"/>
    </row>
    <row r="30" spans="2:9" ht="15.75" x14ac:dyDescent="0.25">
      <c r="B30" s="32"/>
      <c r="C30" s="32"/>
      <c r="D30" s="20"/>
      <c r="E30" s="21"/>
      <c r="F30" s="22"/>
      <c r="G30" s="23"/>
      <c r="H30" s="24"/>
      <c r="I30" s="4"/>
    </row>
    <row r="31" spans="2:9" ht="15.75" x14ac:dyDescent="0.25">
      <c r="B31" s="32"/>
      <c r="C31" s="32"/>
      <c r="D31" s="20"/>
      <c r="E31" s="21"/>
      <c r="F31" s="22"/>
      <c r="G31" s="23"/>
      <c r="H31" s="24"/>
      <c r="I31" s="4"/>
    </row>
    <row r="32" spans="2:9" ht="15.75" x14ac:dyDescent="0.25">
      <c r="B32" s="32"/>
      <c r="C32" s="32"/>
      <c r="D32" s="31"/>
      <c r="E32" s="21"/>
      <c r="F32" s="22"/>
      <c r="G32" s="23"/>
      <c r="H32" s="24"/>
      <c r="I32" s="4"/>
    </row>
    <row r="33" spans="2:9" ht="15.75" x14ac:dyDescent="0.25">
      <c r="B33" s="32"/>
      <c r="C33" s="32"/>
      <c r="D33" s="25"/>
      <c r="E33" s="27"/>
      <c r="F33" s="26"/>
      <c r="G33" s="23"/>
      <c r="H33" s="24"/>
      <c r="I33" s="4"/>
    </row>
    <row r="34" spans="2:9" ht="15.75" x14ac:dyDescent="0.25">
      <c r="B34" s="32"/>
      <c r="C34" s="32"/>
      <c r="D34" s="25"/>
      <c r="E34" s="27"/>
      <c r="F34" s="26"/>
      <c r="G34" s="23"/>
      <c r="H34" s="24"/>
      <c r="I34" s="4"/>
    </row>
    <row r="35" spans="2:9" ht="15.75" x14ac:dyDescent="0.25">
      <c r="B35" s="32"/>
      <c r="C35" s="32"/>
      <c r="D35" s="28"/>
      <c r="E35" s="27"/>
      <c r="F35" s="26"/>
      <c r="G35" s="23"/>
      <c r="H35" s="24"/>
      <c r="I35" s="4"/>
    </row>
    <row r="36" spans="2:9" ht="15.75" x14ac:dyDescent="0.25">
      <c r="B36" s="32"/>
      <c r="C36" s="32"/>
      <c r="D36" s="25"/>
      <c r="E36" s="27"/>
      <c r="F36" s="26"/>
      <c r="G36" s="23"/>
      <c r="H36" s="24"/>
      <c r="I36" s="4"/>
    </row>
    <row r="37" spans="2:9" ht="15.75" x14ac:dyDescent="0.25">
      <c r="B37" s="32"/>
      <c r="C37" s="32"/>
      <c r="D37" s="25"/>
      <c r="E37" s="27"/>
      <c r="F37" s="26"/>
      <c r="G37" s="23"/>
      <c r="H37" s="24"/>
      <c r="I37" s="4"/>
    </row>
    <row r="38" spans="2:9" ht="15.75" x14ac:dyDescent="0.25">
      <c r="B38" s="32"/>
      <c r="C38" s="32"/>
      <c r="D38" s="25"/>
      <c r="E38" s="27"/>
      <c r="F38" s="26"/>
      <c r="G38" s="23"/>
      <c r="H38" s="24"/>
      <c r="I38" s="4"/>
    </row>
    <row r="39" spans="2:9" ht="15.75" x14ac:dyDescent="0.25">
      <c r="B39" s="32"/>
      <c r="C39" s="32"/>
      <c r="D39" s="25"/>
      <c r="E39" s="27"/>
      <c r="F39" s="26"/>
      <c r="G39" s="23"/>
      <c r="H39" s="24"/>
      <c r="I39" s="4"/>
    </row>
    <row r="40" spans="2:9" ht="15.75" x14ac:dyDescent="0.25">
      <c r="B40" s="32"/>
      <c r="C40" s="32"/>
      <c r="D40" s="25"/>
      <c r="E40" s="27"/>
      <c r="F40" s="26"/>
      <c r="G40" s="23"/>
      <c r="H40" s="24"/>
      <c r="I40" s="4"/>
    </row>
    <row r="41" spans="2:9" ht="15.75" x14ac:dyDescent="0.25">
      <c r="B41" s="32"/>
      <c r="C41" s="32"/>
      <c r="D41" s="25"/>
      <c r="E41" s="27"/>
      <c r="F41" s="26"/>
      <c r="G41" s="23"/>
      <c r="H41" s="24"/>
      <c r="I41" s="4"/>
    </row>
    <row r="42" spans="2:9" ht="15.75" x14ac:dyDescent="0.25">
      <c r="B42" s="32"/>
      <c r="C42" s="32"/>
      <c r="D42" s="25"/>
      <c r="E42" s="27"/>
      <c r="F42" s="26"/>
      <c r="G42" s="23"/>
      <c r="H42" s="24"/>
      <c r="I42" s="4"/>
    </row>
    <row r="43" spans="2:9" ht="15.75" x14ac:dyDescent="0.25">
      <c r="B43" s="32"/>
      <c r="C43" s="32"/>
      <c r="D43" s="25"/>
      <c r="E43" s="27"/>
      <c r="F43" s="26"/>
      <c r="G43" s="23"/>
      <c r="H43" s="24"/>
      <c r="I43" s="4"/>
    </row>
    <row r="44" spans="2:9" ht="15.75" x14ac:dyDescent="0.25">
      <c r="B44" s="32"/>
      <c r="C44" s="32"/>
      <c r="D44" s="25"/>
      <c r="E44" s="27"/>
      <c r="F44" s="26"/>
      <c r="G44" s="23"/>
      <c r="H44" s="24"/>
      <c r="I44" s="4"/>
    </row>
    <row r="45" spans="2:9" ht="15.75" x14ac:dyDescent="0.25">
      <c r="B45" s="32"/>
      <c r="C45" s="32"/>
      <c r="D45" s="25"/>
      <c r="E45" s="27"/>
      <c r="F45" s="26"/>
      <c r="G45" s="23"/>
      <c r="H45" s="24"/>
      <c r="I45" s="4"/>
    </row>
    <row r="46" spans="2:9" ht="15.75" x14ac:dyDescent="0.25">
      <c r="B46" s="32"/>
      <c r="C46" s="32"/>
      <c r="D46" s="25"/>
      <c r="E46" s="27"/>
      <c r="F46" s="26"/>
      <c r="G46" s="23"/>
      <c r="H46" s="24"/>
      <c r="I46" s="4"/>
    </row>
    <row r="47" spans="2:9" ht="15.75" x14ac:dyDescent="0.25">
      <c r="B47" s="32"/>
      <c r="C47" s="32"/>
      <c r="D47" s="25"/>
      <c r="E47" s="27"/>
      <c r="F47" s="26"/>
      <c r="G47" s="23"/>
      <c r="H47" s="24"/>
      <c r="I47" s="4"/>
    </row>
    <row r="48" spans="2:9" ht="15.75" x14ac:dyDescent="0.25">
      <c r="B48" s="32"/>
      <c r="C48" s="32"/>
      <c r="D48" s="25"/>
      <c r="E48" s="27"/>
      <c r="F48" s="26"/>
      <c r="G48" s="23"/>
      <c r="H48" s="24"/>
      <c r="I48" s="4"/>
    </row>
    <row r="49" spans="2:9" ht="15.75" x14ac:dyDescent="0.25">
      <c r="B49" s="32"/>
      <c r="C49" s="32"/>
      <c r="D49" s="25"/>
      <c r="E49" s="27"/>
      <c r="F49" s="26"/>
      <c r="G49" s="23"/>
      <c r="H49" s="24"/>
      <c r="I49" s="4"/>
    </row>
    <row r="50" spans="2:9" ht="15.75" x14ac:dyDescent="0.25">
      <c r="B50" s="32"/>
      <c r="C50" s="32"/>
      <c r="D50" s="25"/>
      <c r="E50" s="27"/>
      <c r="F50" s="26"/>
      <c r="G50" s="23"/>
      <c r="H50" s="24"/>
      <c r="I50" s="4"/>
    </row>
    <row r="51" spans="2:9" ht="15.75" x14ac:dyDescent="0.25">
      <c r="B51" s="32"/>
      <c r="C51" s="32"/>
      <c r="D51" s="25"/>
      <c r="E51" s="27"/>
      <c r="F51" s="26"/>
      <c r="G51" s="23"/>
      <c r="H51" s="24"/>
      <c r="I51" s="4"/>
    </row>
    <row r="52" spans="2:9" ht="15.75" x14ac:dyDescent="0.25">
      <c r="B52" s="29"/>
      <c r="C52" s="29"/>
      <c r="D52" s="29"/>
      <c r="E52" s="29"/>
      <c r="F52" s="29"/>
      <c r="G52" s="19" t="s">
        <v>7</v>
      </c>
      <c r="H52" s="30">
        <f>SUM(H23:H51)</f>
        <v>721.17400000000009</v>
      </c>
      <c r="I52" s="4"/>
    </row>
    <row r="53" spans="2:9" ht="15.75" x14ac:dyDescent="0.25">
      <c r="B53" s="3"/>
      <c r="C53" s="3"/>
      <c r="D53" s="3"/>
      <c r="E53" s="3"/>
      <c r="F53" s="3"/>
      <c r="G53" s="3"/>
      <c r="H53" s="9"/>
      <c r="I53" s="4"/>
    </row>
    <row r="54" spans="2:9" ht="15.75" customHeight="1" x14ac:dyDescent="0.25">
      <c r="B54" s="58" t="s">
        <v>5</v>
      </c>
      <c r="C54" s="58"/>
      <c r="D54" s="58"/>
      <c r="E54" s="58"/>
      <c r="F54" s="58"/>
      <c r="G54" s="58"/>
      <c r="H54" s="58"/>
      <c r="I54" s="4"/>
    </row>
    <row r="55" spans="2:9" ht="15.75" x14ac:dyDescent="0.25">
      <c r="B55" s="58"/>
      <c r="C55" s="58"/>
      <c r="D55" s="58"/>
      <c r="E55" s="58"/>
      <c r="F55" s="58"/>
      <c r="G55" s="58"/>
      <c r="H55" s="58"/>
      <c r="I55" s="4"/>
    </row>
    <row r="56" spans="2:9" ht="15.75" x14ac:dyDescent="0.25">
      <c r="B56" s="11"/>
      <c r="C56" s="11"/>
      <c r="D56" s="11"/>
      <c r="E56" s="14"/>
      <c r="F56" s="14"/>
      <c r="G56" s="14"/>
      <c r="H56" s="11"/>
      <c r="I56" s="4"/>
    </row>
    <row r="57" spans="2:9" ht="15.75" x14ac:dyDescent="0.25">
      <c r="E57" s="13"/>
      <c r="F57" s="13"/>
      <c r="G57" s="13"/>
      <c r="H57" s="9"/>
      <c r="I57" s="4"/>
    </row>
    <row r="58" spans="2:9" ht="15.75" x14ac:dyDescent="0.25">
      <c r="B58" s="3" t="s">
        <v>13</v>
      </c>
      <c r="C58" s="3"/>
      <c r="D58" s="16">
        <f ca="1">TODAY()</f>
        <v>46219</v>
      </c>
      <c r="E58" s="13"/>
      <c r="F58" s="13"/>
      <c r="G58" s="13"/>
      <c r="H58" s="9"/>
      <c r="I58" s="4"/>
    </row>
    <row r="59" spans="2:9" ht="15.75" x14ac:dyDescent="0.25">
      <c r="B59" s="3"/>
      <c r="C59" s="3"/>
      <c r="D59" s="4"/>
      <c r="E59" s="13"/>
      <c r="F59" s="13"/>
      <c r="G59" s="13"/>
      <c r="H59" s="9"/>
      <c r="I59" s="4"/>
    </row>
    <row r="60" spans="2:9" ht="15.75" x14ac:dyDescent="0.25">
      <c r="B60" s="3"/>
      <c r="C60" s="3"/>
      <c r="D60" s="4"/>
      <c r="E60" s="13"/>
      <c r="F60" s="13"/>
      <c r="G60" s="13"/>
      <c r="H60" s="9"/>
      <c r="I60" s="4"/>
    </row>
    <row r="61" spans="2:9" ht="15.75" x14ac:dyDescent="0.25">
      <c r="B61" s="4"/>
      <c r="C61" s="4"/>
      <c r="D61" s="4"/>
      <c r="E61" s="13"/>
      <c r="F61" s="13"/>
      <c r="G61" s="13"/>
      <c r="H61" s="9"/>
      <c r="I61" s="4"/>
    </row>
    <row r="62" spans="2:9" ht="15.75" x14ac:dyDescent="0.25">
      <c r="B62" s="4"/>
      <c r="C62" s="4"/>
      <c r="D62" s="4"/>
      <c r="E62" s="13"/>
      <c r="F62" s="13" t="s">
        <v>12</v>
      </c>
      <c r="G62" s="13"/>
      <c r="H62" s="9"/>
      <c r="I62" s="4"/>
    </row>
    <row r="63" spans="2:9" ht="15.75" x14ac:dyDescent="0.25">
      <c r="B63" s="4"/>
      <c r="C63" s="4"/>
      <c r="D63" s="7" t="s">
        <v>10</v>
      </c>
      <c r="E63" s="13"/>
      <c r="F63" s="13" t="s">
        <v>11</v>
      </c>
      <c r="G63" s="13"/>
      <c r="H63" s="9"/>
      <c r="I63" s="4"/>
    </row>
    <row r="64" spans="2:9" ht="15.75" x14ac:dyDescent="0.25">
      <c r="B64" s="4"/>
      <c r="C64" s="4"/>
      <c r="D64" s="18" t="s">
        <v>16</v>
      </c>
      <c r="E64" s="13"/>
      <c r="F64" s="13"/>
      <c r="G64" s="13"/>
      <c r="H64" s="9"/>
      <c r="I64" s="4"/>
    </row>
    <row r="65" spans="2:9" ht="15.75" x14ac:dyDescent="0.25">
      <c r="B65" s="4"/>
      <c r="C65" s="4"/>
      <c r="D65" s="17" t="s">
        <v>17</v>
      </c>
      <c r="E65" s="13"/>
      <c r="F65" s="13"/>
      <c r="G65" s="13"/>
      <c r="H65" s="9"/>
      <c r="I65" s="4"/>
    </row>
    <row r="66" spans="2:9" ht="15.75" x14ac:dyDescent="0.25">
      <c r="B66" s="4"/>
      <c r="C66" s="4"/>
      <c r="D66" s="17" t="s">
        <v>15</v>
      </c>
      <c r="E66" s="13"/>
      <c r="F66" s="13"/>
      <c r="G66" s="13"/>
      <c r="H66" s="9"/>
      <c r="I66" s="4"/>
    </row>
    <row r="67" spans="2:9" ht="15.75" x14ac:dyDescent="0.25">
      <c r="B67" s="4"/>
      <c r="C67" s="4"/>
      <c r="D67" s="4"/>
      <c r="E67" s="13"/>
      <c r="F67" s="13"/>
      <c r="G67" s="13"/>
      <c r="H67" s="9"/>
      <c r="I67" s="4"/>
    </row>
    <row r="68" spans="2:9" ht="15.75" x14ac:dyDescent="0.25">
      <c r="B68" s="4"/>
      <c r="C68" s="4"/>
      <c r="D68" s="4"/>
      <c r="E68" s="13"/>
      <c r="F68" s="13"/>
      <c r="G68" s="13"/>
      <c r="H68" s="9"/>
      <c r="I68" s="4"/>
    </row>
    <row r="69" spans="2:9" ht="15.75" x14ac:dyDescent="0.25">
      <c r="B69" s="4"/>
      <c r="C69" s="4"/>
      <c r="D69" s="4"/>
      <c r="E69" s="13"/>
      <c r="F69" s="13"/>
      <c r="G69" s="13"/>
      <c r="H69" s="9"/>
      <c r="I69" s="4"/>
    </row>
    <row r="70" spans="2:9" ht="15.75" x14ac:dyDescent="0.25">
      <c r="B70" s="4"/>
      <c r="C70" s="4"/>
      <c r="D70" s="4"/>
      <c r="E70" s="13"/>
      <c r="F70" s="13"/>
      <c r="G70" s="13"/>
      <c r="H70" s="9"/>
      <c r="I70" s="4"/>
    </row>
    <row r="71" spans="2:9" ht="15.75" x14ac:dyDescent="0.25">
      <c r="B71" s="4"/>
      <c r="C71" s="4"/>
      <c r="D71" s="4"/>
      <c r="E71" s="13"/>
      <c r="F71" s="13"/>
      <c r="G71" s="13"/>
      <c r="H71" s="9"/>
      <c r="I71" s="4"/>
    </row>
    <row r="72" spans="2:9" ht="15.75" x14ac:dyDescent="0.25">
      <c r="B72" s="4"/>
      <c r="C72" s="4"/>
      <c r="D72" s="4"/>
      <c r="E72" s="13"/>
      <c r="F72" s="13"/>
      <c r="G72" s="13"/>
      <c r="H72" s="9"/>
      <c r="I72" s="4"/>
    </row>
    <row r="73" spans="2:9" ht="15.75" x14ac:dyDescent="0.25">
      <c r="B73" s="4"/>
      <c r="C73" s="4"/>
      <c r="D73" s="4"/>
      <c r="E73" s="13"/>
      <c r="F73" s="13"/>
      <c r="G73" s="13"/>
      <c r="H73" s="9"/>
      <c r="I73" s="4"/>
    </row>
    <row r="74" spans="2:9" ht="15.75" x14ac:dyDescent="0.25">
      <c r="B74" s="4"/>
      <c r="C74" s="4"/>
      <c r="D74" s="4"/>
      <c r="E74" s="13"/>
      <c r="F74" s="13"/>
      <c r="G74" s="13"/>
      <c r="H74" s="9"/>
      <c r="I74" s="4"/>
    </row>
    <row r="75" spans="2:9" ht="15.75" x14ac:dyDescent="0.25">
      <c r="B75" s="4"/>
      <c r="C75" s="4"/>
      <c r="D75" s="4"/>
      <c r="E75" s="13"/>
      <c r="F75" s="13"/>
      <c r="G75" s="13"/>
      <c r="H75" s="9"/>
      <c r="I75" s="4"/>
    </row>
    <row r="76" spans="2:9" ht="15.75" x14ac:dyDescent="0.25">
      <c r="B76" s="4"/>
      <c r="C76" s="4"/>
      <c r="D76" s="4"/>
      <c r="E76" s="13"/>
      <c r="F76" s="13"/>
      <c r="G76" s="13"/>
      <c r="H76" s="9"/>
      <c r="I76" s="4"/>
    </row>
    <row r="77" spans="2:9" ht="15.75" x14ac:dyDescent="0.25">
      <c r="B77" s="4"/>
      <c r="C77" s="4"/>
      <c r="D77" s="4"/>
      <c r="E77" s="13"/>
      <c r="F77" s="13"/>
      <c r="G77" s="13"/>
      <c r="H77" s="9"/>
      <c r="I77" s="4"/>
    </row>
  </sheetData>
  <mergeCells count="42">
    <mergeCell ref="B51:C51"/>
    <mergeCell ref="B43:C43"/>
    <mergeCell ref="B44:C44"/>
    <mergeCell ref="B45:C45"/>
    <mergeCell ref="B46:C46"/>
    <mergeCell ref="B47:C47"/>
    <mergeCell ref="B41:C41"/>
    <mergeCell ref="B42:C42"/>
    <mergeCell ref="B48:C48"/>
    <mergeCell ref="B49:C49"/>
    <mergeCell ref="B50:C50"/>
    <mergeCell ref="B26:C26"/>
    <mergeCell ref="B27:C27"/>
    <mergeCell ref="B28:C28"/>
    <mergeCell ref="B29:C29"/>
    <mergeCell ref="B54:H55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7:H8"/>
    <mergeCell ref="B11:H12"/>
    <mergeCell ref="B13:H14"/>
    <mergeCell ref="B15:H16"/>
    <mergeCell ref="B17:H18"/>
    <mergeCell ref="H21:H22"/>
    <mergeCell ref="F21:F22"/>
    <mergeCell ref="G21:G22"/>
    <mergeCell ref="B19:H20"/>
    <mergeCell ref="B21:C22"/>
    <mergeCell ref="B23:C23"/>
    <mergeCell ref="B24:C24"/>
    <mergeCell ref="B25:C25"/>
    <mergeCell ref="D21:D22"/>
    <mergeCell ref="E21:E22"/>
  </mergeCells>
  <pageMargins left="0.51181102362204722" right="0.51181102362204722" top="0.78740157480314965" bottom="0.78740157480314965" header="0.31496062992125984" footer="0.31496062992125984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Guilherme Muran Frankio</cp:lastModifiedBy>
  <cp:lastPrinted>2026-07-16T13:46:44Z</cp:lastPrinted>
  <dcterms:created xsi:type="dcterms:W3CDTF">2017-12-20T12:44:08Z</dcterms:created>
  <dcterms:modified xsi:type="dcterms:W3CDTF">2026-07-16T13:53:59Z</dcterms:modified>
</cp:coreProperties>
</file>